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<sst xmlns="http://schemas.openxmlformats.org/spreadsheetml/2006/main" count="12" uniqueCount="11">
  <si>
    <t xml:space="preserve">Loan Amount</t>
  </si>
  <si>
    <t xml:space="preserve">Annual Rate</t>
  </si>
  <si>
    <t xml:space="preserve">Periods(n)</t>
  </si>
  <si>
    <t xml:space="preserve">Monthly Rate</t>
  </si>
  <si>
    <t xml:space="preserve">Monthly Payment</t>
  </si>
  <si>
    <t xml:space="preserve">Beginning Balance</t>
  </si>
  <si>
    <t xml:space="preserve">Payment</t>
  </si>
  <si>
    <t xml:space="preserve">Interest</t>
  </si>
  <si>
    <t xml:space="preserve">Principal</t>
  </si>
  <si>
    <t xml:space="preserve">Ending Balance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</si>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</sst>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[$$-409]#,##0.00;[RED]\-[$$-409]#,##0.00"/>
    <numFmt numFmtId="167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"/>
      <family val="2"/>
      <charset val="1"/>
    </font>
    <font>
      <b val="true"/>
      <sz val="10"/>
      <color rgb="FFFFFFFF"/>
      <name val="Noto Sans"/>
      <family val="2"/>
      <charset val="1"/>
    </font>
    <font>
      <sz val="10"/>
      <color rgb="FFFFFFFF"/>
      <name val="Noto Sans"/>
      <family val="2"/>
      <charset val="1"/>
    </font>
    <font>
      <b val="true"/>
      <sz val="10"/>
      <name val="Noto 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81D41A"/>
        <bgColor rgb="FF579D1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41290080630039"/>
          <c:y val="0.0661184576064007"/>
          <c:w val="0.635602225139071"/>
          <c:h val="0.865873985998444"/>
        </c:manualLayout>
      </c:layout>
      <c:lineChart>
        <c:grouping val="standard"/>
        <c:varyColors val="0"/>
        <c:ser>
          <c:idx val="0"/>
          <c:order val="0"/>
          <c:tx>
            <c:strRef>
              <c:f>Sheet1!$D$8</c:f>
              <c:strCache>
                <c:ptCount val="1"/>
                <c:pt idx="0">
                  <c:v>Interest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Sheet1!$D$9:$D$20</c:f>
              <c:numCache>
                <c:formatCode>General</c:formatCode>
                <c:ptCount val="12"/>
                <c:pt idx="0">
                  <c:v>1000</c:v>
                </c:pt>
                <c:pt idx="1">
                  <c:v>921.151211321658</c:v>
                </c:pt>
                <c:pt idx="2">
                  <c:v>841.513934756533</c:v>
                </c:pt>
                <c:pt idx="3">
                  <c:v>761.080285425757</c:v>
                </c:pt>
                <c:pt idx="4">
                  <c:v>679.842299601673</c:v>
                </c:pt>
                <c:pt idx="5">
                  <c:v>597.791933919348</c:v>
                </c:pt>
                <c:pt idx="6">
                  <c:v>514.921064580199</c:v>
                </c:pt>
                <c:pt idx="7">
                  <c:v>431.22148654766</c:v>
                </c:pt>
                <c:pt idx="8">
                  <c:v>346.684912734795</c:v>
                </c:pt>
                <c:pt idx="9">
                  <c:v>261.302973183801</c:v>
                </c:pt>
                <c:pt idx="10">
                  <c:v>175.067214237297</c:v>
                </c:pt>
                <c:pt idx="11">
                  <c:v>87.9690977013284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Sheet1!$E$8</c:f>
              <c:strCache>
                <c:ptCount val="1"/>
                <c:pt idx="0">
                  <c:v>Principal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Sheet1!$E$9:$E$20</c:f>
              <c:numCache>
                <c:formatCode>[$$-409]#,##0.00;[RED]\-[$$-409]#,##0.00</c:formatCode>
                <c:ptCount val="12"/>
                <c:pt idx="0">
                  <c:v>7884.87886783417</c:v>
                </c:pt>
                <c:pt idx="1">
                  <c:v>7963.72765651251</c:v>
                </c:pt>
                <c:pt idx="2">
                  <c:v>8043.36493307764</c:v>
                </c:pt>
                <c:pt idx="3">
                  <c:v>8123.79858240841</c:v>
                </c:pt>
                <c:pt idx="4">
                  <c:v>8205.0365682325</c:v>
                </c:pt>
                <c:pt idx="5">
                  <c:v>8287.08693391482</c:v>
                </c:pt>
                <c:pt idx="6">
                  <c:v>8369.95780325397</c:v>
                </c:pt>
                <c:pt idx="7">
                  <c:v>8453.65738128651</c:v>
                </c:pt>
                <c:pt idx="8">
                  <c:v>8538.19395509938</c:v>
                </c:pt>
                <c:pt idx="9">
                  <c:v>8623.57589465037</c:v>
                </c:pt>
                <c:pt idx="10">
                  <c:v>8709.81165359688</c:v>
                </c:pt>
                <c:pt idx="11">
                  <c:v>8796.90977013284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Sheet1!$F$8</c:f>
              <c:strCache>
                <c:ptCount val="1"/>
                <c:pt idx="0">
                  <c:v>Ending Balance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Sheet1!$F$9:$F$20</c:f>
              <c:numCache>
                <c:formatCode>[$$-409]#,##0.00;[RED]\-[$$-409]#,##0.00</c:formatCode>
                <c:ptCount val="12"/>
                <c:pt idx="0">
                  <c:v>92115.1211321658</c:v>
                </c:pt>
                <c:pt idx="1">
                  <c:v>84151.3934756533</c:v>
                </c:pt>
                <c:pt idx="2">
                  <c:v>76108.0285425757</c:v>
                </c:pt>
                <c:pt idx="3">
                  <c:v>67984.2299601673</c:v>
                </c:pt>
                <c:pt idx="4">
                  <c:v>59779.1933919348</c:v>
                </c:pt>
                <c:pt idx="5">
                  <c:v>51492.1064580199</c:v>
                </c:pt>
                <c:pt idx="6">
                  <c:v>43122.148654766</c:v>
                </c:pt>
                <c:pt idx="7">
                  <c:v>34668.4912734795</c:v>
                </c:pt>
                <c:pt idx="8">
                  <c:v>26130.2973183801</c:v>
                </c:pt>
                <c:pt idx="9">
                  <c:v>17506.7214237297</c:v>
                </c:pt>
                <c:pt idx="10">
                  <c:v>8796.90977013284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607043"/>
        <c:axId val="59432887"/>
      </c:lineChart>
      <c:catAx>
        <c:axId val="656070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9432887"/>
        <c:crosses val="autoZero"/>
        <c:auto val="1"/>
        <c:lblAlgn val="ctr"/>
        <c:lblOffset val="100"/>
        <c:noMultiLvlLbl val="0"/>
      </c:catAx>
      <c:valAx>
        <c:axId val="594328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$-409]#,##0.00;[RED]\-[$$-409]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560704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559800</xdr:colOff>
      <xdr:row>22</xdr:row>
      <xdr:rowOff>0</xdr:rowOff>
    </xdr:from>
    <xdr:to>
      <xdr:col>6</xdr:col>
      <xdr:colOff>642600</xdr:colOff>
      <xdr:row>43</xdr:row>
      <xdr:rowOff>9360</xdr:rowOff>
    </xdr:to>
    <xdr:graphicFrame>
      <xdr:nvGraphicFramePr>
        <xdr:cNvPr id="0" name="Amortization Schedule Plot"/>
        <xdr:cNvGraphicFramePr/>
      </xdr:nvGraphicFramePr>
      <xdr:xfrm>
        <a:off x="3304800" y="3576240"/>
        <a:ext cx="5759280" cy="342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B16" colorId="64" zoomScale="100" zoomScaleNormal="100" zoomScalePageLayoutView="100" workbookViewId="0">
      <selection pane="topLeft" activeCell="I35" activeCellId="0" sqref="I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55"/>
    <col collapsed="false" customWidth="true" hidden="false" outlineLevel="0" max="2" min="2" style="1" width="22.4"/>
    <col collapsed="false" customWidth="true" hidden="false" outlineLevel="0" max="3" min="3" style="1" width="17.24"/>
    <col collapsed="false" customWidth="true" hidden="false" outlineLevel="0" max="4" min="4" style="1" width="18.92"/>
    <col collapsed="false" customWidth="true" hidden="false" outlineLevel="0" max="5" min="5" style="1" width="20.86"/>
    <col collapsed="false" customWidth="true" hidden="false" outlineLevel="0" max="6" min="6" style="1" width="23.5"/>
    <col collapsed="false" customWidth="false" hidden="false" outlineLevel="0" max="16384" min="7" style="1" width="11.53"/>
  </cols>
  <sheetData>
    <row r="1" customFormat="false" ht="12.8" hidden="false" customHeight="false" outlineLevel="0" collapsed="false">
      <c r="A1" s="2" t="s">
        <v>0</v>
      </c>
      <c r="B1" s="3" t="n">
        <v>100000</v>
      </c>
    </row>
    <row r="2" customFormat="false" ht="12.8" hidden="false" customHeight="false" outlineLevel="0" collapsed="false">
      <c r="A2" s="2" t="s">
        <v>1</v>
      </c>
      <c r="B2" s="4" t="n">
        <v>0.12</v>
      </c>
    </row>
    <row r="3" customFormat="false" ht="12.8" hidden="false" customHeight="false" outlineLevel="0" collapsed="false">
      <c r="A3" s="2" t="s">
        <v>2</v>
      </c>
      <c r="B3" s="3" t="n">
        <v>12</v>
      </c>
    </row>
    <row r="4" customFormat="false" ht="12.8" hidden="false" customHeight="false" outlineLevel="0" collapsed="false">
      <c r="A4" s="2" t="s">
        <v>3</v>
      </c>
      <c r="B4" s="3" t="n">
        <f aca="false">B2/12</f>
        <v>0.01</v>
      </c>
    </row>
    <row r="5" customFormat="false" ht="12.8" hidden="false" customHeight="false" outlineLevel="0" collapsed="false">
      <c r="A5" s="2" t="s">
        <v>4</v>
      </c>
      <c r="B5" s="5" t="n">
        <f aca="false">PMT(B4, B3, -B1)</f>
        <v>8884.87886783417</v>
      </c>
    </row>
    <row r="8" customFormat="false" ht="12.8" hidden="false" customHeight="false" outlineLevel="0" collapsed="false">
      <c r="A8" s="6" t="s">
        <v>2</v>
      </c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</row>
    <row r="9" customFormat="false" ht="12.8" hidden="false" customHeight="false" outlineLevel="0" collapsed="false">
      <c r="A9" s="7" t="n">
        <v>1</v>
      </c>
      <c r="B9" s="8" t="n">
        <f aca="false">B1</f>
        <v>100000</v>
      </c>
      <c r="C9" s="9" t="n">
        <f aca="false">$B$5</f>
        <v>8884.87886783417</v>
      </c>
      <c r="D9" s="8" t="n">
        <f aca="false">B9*$B$4</f>
        <v>1000</v>
      </c>
      <c r="E9" s="9" t="n">
        <f aca="false">C9-D9</f>
        <v>7884.87886783417</v>
      </c>
      <c r="F9" s="9" t="n">
        <f aca="false">B9-E9</f>
        <v>92115.1211321658</v>
      </c>
    </row>
    <row r="10" customFormat="false" ht="12.8" hidden="false" customHeight="false" outlineLevel="0" collapsed="false">
      <c r="A10" s="7" t="n">
        <v>2</v>
      </c>
      <c r="B10" s="9" t="n">
        <f aca="false">F9</f>
        <v>92115.1211321658</v>
      </c>
      <c r="C10" s="9" t="n">
        <f aca="false">$B$5</f>
        <v>8884.87886783417</v>
      </c>
      <c r="D10" s="8" t="n">
        <f aca="false">B10*$B$4</f>
        <v>921.151211321658</v>
      </c>
      <c r="E10" s="9" t="n">
        <f aca="false">C10-D10</f>
        <v>7963.72765651251</v>
      </c>
      <c r="F10" s="9" t="n">
        <f aca="false">B10-E10</f>
        <v>84151.3934756533</v>
      </c>
    </row>
    <row r="11" customFormat="false" ht="12.8" hidden="false" customHeight="false" outlineLevel="0" collapsed="false">
      <c r="A11" s="7" t="n">
        <v>3</v>
      </c>
      <c r="B11" s="9" t="n">
        <f aca="false">F10</f>
        <v>84151.3934756533</v>
      </c>
      <c r="C11" s="9" t="n">
        <f aca="false">$B$5</f>
        <v>8884.87886783417</v>
      </c>
      <c r="D11" s="8" t="n">
        <f aca="false">B11*$B$4</f>
        <v>841.513934756533</v>
      </c>
      <c r="E11" s="9" t="n">
        <f aca="false">C11-D11</f>
        <v>8043.36493307764</v>
      </c>
      <c r="F11" s="9" t="n">
        <f aca="false">B11-E11</f>
        <v>76108.0285425757</v>
      </c>
    </row>
    <row r="12" customFormat="false" ht="12.8" hidden="false" customHeight="false" outlineLevel="0" collapsed="false">
      <c r="A12" s="7" t="n">
        <v>4</v>
      </c>
      <c r="B12" s="9" t="n">
        <f aca="false">F11</f>
        <v>76108.0285425757</v>
      </c>
      <c r="C12" s="9" t="n">
        <f aca="false">$B$5</f>
        <v>8884.87886783417</v>
      </c>
      <c r="D12" s="8" t="n">
        <f aca="false">B12*$B$4</f>
        <v>761.080285425757</v>
      </c>
      <c r="E12" s="9" t="n">
        <f aca="false">C12-D12</f>
        <v>8123.79858240841</v>
      </c>
      <c r="F12" s="9" t="n">
        <f aca="false">B12-E12</f>
        <v>67984.2299601673</v>
      </c>
    </row>
    <row r="13" customFormat="false" ht="12.8" hidden="false" customHeight="false" outlineLevel="0" collapsed="false">
      <c r="A13" s="7" t="n">
        <v>5</v>
      </c>
      <c r="B13" s="9" t="n">
        <f aca="false">F12</f>
        <v>67984.2299601673</v>
      </c>
      <c r="C13" s="9" t="n">
        <f aca="false">$B$5</f>
        <v>8884.87886783417</v>
      </c>
      <c r="D13" s="8" t="n">
        <f aca="false">B13*$B$4</f>
        <v>679.842299601673</v>
      </c>
      <c r="E13" s="9" t="n">
        <f aca="false">C13-D13</f>
        <v>8205.0365682325</v>
      </c>
      <c r="F13" s="9" t="n">
        <f aca="false">B13-E13</f>
        <v>59779.1933919348</v>
      </c>
    </row>
    <row r="14" customFormat="false" ht="12.8" hidden="false" customHeight="false" outlineLevel="0" collapsed="false">
      <c r="A14" s="7" t="n">
        <v>6</v>
      </c>
      <c r="B14" s="9" t="n">
        <f aca="false">F13</f>
        <v>59779.1933919348</v>
      </c>
      <c r="C14" s="9" t="n">
        <f aca="false">$B$5</f>
        <v>8884.87886783417</v>
      </c>
      <c r="D14" s="8" t="n">
        <f aca="false">B14*$B$4</f>
        <v>597.791933919348</v>
      </c>
      <c r="E14" s="9" t="n">
        <f aca="false">C14-D14</f>
        <v>8287.08693391482</v>
      </c>
      <c r="F14" s="9" t="n">
        <f aca="false">B14-E14</f>
        <v>51492.1064580199</v>
      </c>
    </row>
    <row r="15" customFormat="false" ht="12.8" hidden="false" customHeight="false" outlineLevel="0" collapsed="false">
      <c r="A15" s="7" t="n">
        <v>7</v>
      </c>
      <c r="B15" s="9" t="n">
        <f aca="false">F14</f>
        <v>51492.1064580199</v>
      </c>
      <c r="C15" s="9" t="n">
        <f aca="false">$B$5</f>
        <v>8884.87886783417</v>
      </c>
      <c r="D15" s="8" t="n">
        <f aca="false">B15*$B$4</f>
        <v>514.921064580199</v>
      </c>
      <c r="E15" s="9" t="n">
        <f aca="false">C15-D15</f>
        <v>8369.95780325397</v>
      </c>
      <c r="F15" s="9" t="n">
        <f aca="false">B15-E15</f>
        <v>43122.148654766</v>
      </c>
    </row>
    <row r="16" customFormat="false" ht="12.8" hidden="false" customHeight="false" outlineLevel="0" collapsed="false">
      <c r="A16" s="7" t="n">
        <v>8</v>
      </c>
      <c r="B16" s="9" t="n">
        <f aca="false">F15</f>
        <v>43122.148654766</v>
      </c>
      <c r="C16" s="9" t="n">
        <f aca="false">$B$5</f>
        <v>8884.87886783417</v>
      </c>
      <c r="D16" s="8" t="n">
        <f aca="false">B16*$B$4</f>
        <v>431.22148654766</v>
      </c>
      <c r="E16" s="9" t="n">
        <f aca="false">C16-D16</f>
        <v>8453.65738128651</v>
      </c>
      <c r="F16" s="9" t="n">
        <f aca="false">B16-E16</f>
        <v>34668.4912734795</v>
      </c>
    </row>
    <row r="17" customFormat="false" ht="12.8" hidden="false" customHeight="false" outlineLevel="0" collapsed="false">
      <c r="A17" s="7" t="n">
        <v>9</v>
      </c>
      <c r="B17" s="9" t="n">
        <f aca="false">F16</f>
        <v>34668.4912734795</v>
      </c>
      <c r="C17" s="9" t="n">
        <f aca="false">$B$5</f>
        <v>8884.87886783417</v>
      </c>
      <c r="D17" s="8" t="n">
        <f aca="false">B17*$B$4</f>
        <v>346.684912734795</v>
      </c>
      <c r="E17" s="9" t="n">
        <f aca="false">C17-D17</f>
        <v>8538.19395509938</v>
      </c>
      <c r="F17" s="9" t="n">
        <f aca="false">B17-E17</f>
        <v>26130.2973183801</v>
      </c>
    </row>
    <row r="18" customFormat="false" ht="12.8" hidden="false" customHeight="false" outlineLevel="0" collapsed="false">
      <c r="A18" s="7" t="n">
        <v>10</v>
      </c>
      <c r="B18" s="9" t="n">
        <f aca="false">F17</f>
        <v>26130.2973183801</v>
      </c>
      <c r="C18" s="9" t="n">
        <f aca="false">$B$5</f>
        <v>8884.87886783417</v>
      </c>
      <c r="D18" s="8" t="n">
        <f aca="false">B18*$B$4</f>
        <v>261.302973183801</v>
      </c>
      <c r="E18" s="9" t="n">
        <f aca="false">C18-D18</f>
        <v>8623.57589465037</v>
      </c>
      <c r="F18" s="9" t="n">
        <f aca="false">B18-E18</f>
        <v>17506.7214237297</v>
      </c>
    </row>
    <row r="19" customFormat="false" ht="12.8" hidden="false" customHeight="false" outlineLevel="0" collapsed="false">
      <c r="A19" s="7" t="n">
        <v>11</v>
      </c>
      <c r="B19" s="9" t="n">
        <f aca="false">F18</f>
        <v>17506.7214237297</v>
      </c>
      <c r="C19" s="9" t="n">
        <f aca="false">$B$5</f>
        <v>8884.87886783417</v>
      </c>
      <c r="D19" s="8" t="n">
        <f aca="false">B19*$B$4</f>
        <v>175.067214237297</v>
      </c>
      <c r="E19" s="9" t="n">
        <f aca="false">C19-D19</f>
        <v>8709.81165359688</v>
      </c>
      <c r="F19" s="9" t="n">
        <f aca="false">B19-E19</f>
        <v>8796.90977013284</v>
      </c>
    </row>
    <row r="20" customFormat="false" ht="12.8" hidden="false" customHeight="false" outlineLevel="0" collapsed="false">
      <c r="A20" s="7" t="n">
        <v>12</v>
      </c>
      <c r="B20" s="9" t="n">
        <f aca="false">F19</f>
        <v>8796.90977013284</v>
      </c>
      <c r="C20" s="9" t="n">
        <f aca="false">$B$5</f>
        <v>8884.87886783417</v>
      </c>
      <c r="D20" s="8" t="n">
        <f aca="false">B20*$B$4</f>
        <v>87.9690977013284</v>
      </c>
      <c r="E20" s="9" t="n">
        <f aca="false">C20-D20</f>
        <v>8796.90977013284</v>
      </c>
      <c r="F20" s="9" t="n">
        <f aca="false">B20-E20</f>
        <v>0</v>
      </c>
    </row>
    <row r="21" customFormat="false" ht="12.8" hidden="false" customHeight="false" outlineLevel="0" collapsed="false">
      <c r="A21" s="10" t="s">
        <v>10</v>
      </c>
      <c r="B21" s="8"/>
      <c r="C21" s="11" t="n">
        <f aca="false">SUM(C9:C20)</f>
        <v>106618.54641401</v>
      </c>
      <c r="D21" s="8"/>
      <c r="E21" s="11" t="n">
        <f aca="false">SUM(E9:E20)</f>
        <v>100000</v>
      </c>
      <c r="F21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2026-03-20T23:22:53Z</dcterms:created>
  <dc:creator/>
  <dc:description/>
  <dc:language>en-US</dc:language>
  <cp:lastModifiedBy/>
  <dcterms:modified xsi:type="dcterms:W3CDTF">2026-03-21T00:42:48Z</dcterms:modified>
  <cp:revision>2</cp:revision>
  <dc:subject/>
  <dc:title/>
</cp:coreProperties>
</file>